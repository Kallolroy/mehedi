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eatures" sheetId="2" state="visible" r:id="rId4"/>
    <sheet name="Server Setup" sheetId="3" state="visible" r:id="rId5"/>
    <sheet name="Monthly Co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<sst xmlns="http://schemas.openxmlformats.org/spreadsheetml/2006/main" count="165" uniqueCount="120">
  <si>
    <t xml:space="preserve">AILA CRM – Ready-to-sale v1: development effort estimate</t>
  </si>
  <si>
    <t xml:space="preserve">Blue = editable input. Change hours on the Features / Server Setup tabs or the yellow cells here; everything recalculates.</t>
  </si>
  <si>
    <t xml:space="preserve">Module</t>
  </si>
  <si>
    <t xml:space="preserve">Backend (h)</t>
  </si>
  <si>
    <t xml:space="preserve">Frontend (h)</t>
  </si>
  <si>
    <t xml:space="preserve">QA (h)</t>
  </si>
  <si>
    <t xml:space="preserve">Total (h)</t>
  </si>
  <si>
    <t xml:space="preserve">1. Identity, Workspace &amp; Team</t>
  </si>
  <si>
    <t xml:space="preserve">2. Contacts</t>
  </si>
  <si>
    <t xml:space="preserve">3. Companies</t>
  </si>
  <si>
    <t xml:space="preserve">4. Pipeline &amp; Deals</t>
  </si>
  <si>
    <t xml:space="preserve">5. Follow-up (Activities &amp; Tasks)</t>
  </si>
  <si>
    <t xml:space="preserve">6. Home Dashboard</t>
  </si>
  <si>
    <t xml:space="preserve">7. Integrations</t>
  </si>
  <si>
    <t xml:space="preserve">8. AI</t>
  </si>
  <si>
    <t xml:space="preserve">Feature development subtotal</t>
  </si>
  <si>
    <t xml:space="preserve">Other work</t>
  </si>
  <si>
    <t xml:space="preserve">Server setup &amp; production go-live (see Server Setup tab)</t>
  </si>
  <si>
    <t xml:space="preserve">Subtotal</t>
  </si>
  <si>
    <t xml:space="preserve">Project management &amp; coordination (% of subtotal)</t>
  </si>
  <si>
    <t xml:space="preserve">Contingency / risk buffer (% of subtotal)</t>
  </si>
  <si>
    <t xml:space="preserve">GRAND TOTAL (hours)</t>
  </si>
  <si>
    <t xml:space="preserve">Assumptions</t>
  </si>
  <si>
    <t xml:space="preserve">Architecture: one monolithic .NET 10 application (ASP.NET Core API) with an Angular front end, on one Azure server.</t>
  </si>
  <si>
    <t xml:space="preserve">Database: SQL Server Express on the same server. No Kafka, Docker, Kubernetes or load balancer.</t>
  </si>
  <si>
    <t xml:space="preserve">Scope: Identity &amp; Team, Contacts, Companies, Pipeline &amp; Deals, Follow-up, Home Dashboard, CSV export, AI features, server setup and go-live.</t>
  </si>
  <si>
    <t xml:space="preserve">Hours are effort estimates per feature (backend, frontend, QA); project management 8% and contingency 10% are adjustable.</t>
  </si>
  <si>
    <t xml:space="preserve">Not included in this estimate: discovery &amp; architecture, UI/UX design, billing &amp; go-to-market, system testing &amp; UAT, hardening.</t>
  </si>
  <si>
    <t xml:space="preserve">Also not in v1: outbound HubSpot/Brevo sync, lead brief, native mobile apps, data migration, legal text, marketing website, post-launch support.</t>
  </si>
  <si>
    <t xml:space="preserve">Running costs (Azure, Claude Max) are on the Monthly Cost tab.</t>
  </si>
  <si>
    <t xml:space="preserve">Feature</t>
  </si>
  <si>
    <t xml:space="preserve">Notes</t>
  </si>
  <si>
    <t xml:space="preserve">Sign up, login, email verification, password reset</t>
  </si>
  <si>
    <t xml:space="preserve">ASP.NET Core Identity + ready templates</t>
  </si>
  <si>
    <t xml:space="preserve">Workspace / org (multi-tenant data isolation)</t>
  </si>
  <si>
    <t xml:space="preserve">EF Core global tenant filter in one database</t>
  </si>
  <si>
    <t xml:space="preserve">Roles: Admin vs Member</t>
  </si>
  <si>
    <t xml:space="preserve">Invite teammates</t>
  </si>
  <si>
    <t xml:space="preserve">Email invite, accept flow</t>
  </si>
  <si>
    <t xml:space="preserve">Assign owners + My leads / deals / tasks filters</t>
  </si>
  <si>
    <t xml:space="preserve">Contact list + detail (search, filter, paging)</t>
  </si>
  <si>
    <t xml:space="preserve">Create / edit contact</t>
  </si>
  <si>
    <t xml:space="preserve">Owner + status</t>
  </si>
  <si>
    <t xml:space="preserve">Source tracking (import / scan / manual)</t>
  </si>
  <si>
    <t xml:space="preserve">CSV import (column mapping, validation, background job)</t>
  </si>
  <si>
    <t xml:space="preserve">Fixed column template first, flexible mapping later</t>
  </si>
  <si>
    <t xml:space="preserve">Scan capture (business card / PDF upload)</t>
  </si>
  <si>
    <t xml:space="preserve">Business card + PDF only</t>
  </si>
  <si>
    <t xml:space="preserve">Enrich + classify</t>
  </si>
  <si>
    <t xml:space="preserve">In-process background job</t>
  </si>
  <si>
    <t xml:space="preserve">Basic dedupe (detect + merge)</t>
  </si>
  <si>
    <t xml:space="preserve">Detect on create / import, simple merge</t>
  </si>
  <si>
    <t xml:space="preserve">Create / list / detail</t>
  </si>
  <si>
    <t xml:space="preserve">Link contacts (auto by email domain when possible)</t>
  </si>
  <si>
    <t xml:space="preserve">Direct call on save, same database</t>
  </si>
  <si>
    <t xml:space="preserve">Company search</t>
  </si>
  <si>
    <t xml:space="preserve">One default pipeline + stages</t>
  </si>
  <si>
    <t xml:space="preserve">Deals with value, owner, dates, contact / company</t>
  </si>
  <si>
    <t xml:space="preserve">Kanban board (drag and drop)</t>
  </si>
  <si>
    <t xml:space="preserve">Angular CDK drag-drop</t>
  </si>
  <si>
    <t xml:space="preserve">Deal list view</t>
  </si>
  <si>
    <t xml:space="preserve">Move stages + stage history</t>
  </si>
  <si>
    <t xml:space="preserve">Won / lost</t>
  </si>
  <si>
    <t xml:space="preserve">Log call / meeting</t>
  </si>
  <si>
    <t xml:space="preserve">Tasks (due date, assignee, related record)</t>
  </si>
  <si>
    <t xml:space="preserve">My due / overdue</t>
  </si>
  <si>
    <t xml:space="preserve">Timeline on contact &amp; deal</t>
  </si>
  <si>
    <t xml:space="preserve">Direct SQL query, no separate read model</t>
  </si>
  <si>
    <t xml:space="preserve">New leads widget</t>
  </si>
  <si>
    <t xml:space="preserve">Open pipeline value widget</t>
  </si>
  <si>
    <t xml:space="preserve">Tasks due + overdue widget</t>
  </si>
  <si>
    <t xml:space="preserve">Dashboard queries (SQL views)</t>
  </si>
  <si>
    <t xml:space="preserve">Plain SQL views in the same database</t>
  </si>
  <si>
    <t xml:space="preserve">Reliable CSV export (contacts, companies, deals)</t>
  </si>
  <si>
    <t xml:space="preserve">AI service foundation (Azure OpenAI client, prompts, usage metering)</t>
  </si>
  <si>
    <t xml:space="preserve">Capture AI (extract / enrich / classify prompts + evaluation)</t>
  </si>
  <si>
    <t xml:space="preserve">Follow-up email draft</t>
  </si>
  <si>
    <t xml:space="preserve">CRM assistant chatbot (chat UI, record lookup tools)</t>
  </si>
  <si>
    <t xml:space="preserve">Read-only record lookup</t>
  </si>
  <si>
    <t xml:space="preserve">Prompted reports via assistant</t>
  </si>
  <si>
    <t xml:space="preserve">5 predefined report prompts in v1</t>
  </si>
  <si>
    <t xml:space="preserve">Total</t>
  </si>
  <si>
    <t xml:space="preserve">Server setup &amp; go-live task</t>
  </si>
  <si>
    <t xml:space="preserve">Hours</t>
  </si>
  <si>
    <t xml:space="preserve">Azure server (B2ms Linux), network, static IP</t>
  </si>
  <si>
    <t xml:space="preserve">SQL Server Express install and configuration</t>
  </si>
  <si>
    <t xml:space="preserve">Nginx web server + free SSL certificate</t>
  </si>
  <si>
    <t xml:space="preserve">Build and deploy pipeline (GitHub Actions)</t>
  </si>
  <si>
    <t xml:space="preserve">Azure Backup + basic monitoring alerts</t>
  </si>
  <si>
    <t xml:space="preserve">Production go-live + smoke test</t>
  </si>
  <si>
    <t xml:space="preserve">Monthly running cost (USD)</t>
  </si>
  <si>
    <t xml:space="preserve">Azure list prices, Southeast Asia (Singapore), Azure Retail Prices API, Oct 2026. Domain name is costed separately.</t>
  </si>
  <si>
    <t xml:space="preserve">Azure infrastructure</t>
  </si>
  <si>
    <t xml:space="preserve">Choice</t>
  </si>
  <si>
    <t xml:space="preserve">Price basis</t>
  </si>
  <si>
    <t xml:space="preserve">Monthly ($)</t>
  </si>
  <si>
    <t xml:space="preserve">Azure server</t>
  </si>
  <si>
    <t xml:space="preserve">B2ms Linux, 2 vCPU, 8 GB RAM</t>
  </si>
  <si>
    <t xml:space="preserve">0.106 per hour x 730 h</t>
  </si>
  <si>
    <t xml:space="preserve">Server disk</t>
  </si>
  <si>
    <t xml:space="preserve">128 GB Standard SSD (E10)</t>
  </si>
  <si>
    <t xml:space="preserve">fixed monthly</t>
  </si>
  <si>
    <t xml:space="preserve">Static public IP</t>
  </si>
  <si>
    <t xml:space="preserve">Standard, 1 address</t>
  </si>
  <si>
    <t xml:space="preserve">0.005 per hour x 730 h</t>
  </si>
  <si>
    <t xml:space="preserve">SQL Server</t>
  </si>
  <si>
    <t xml:space="preserve">Express edition on the same server</t>
  </si>
  <si>
    <t xml:space="preserve">free edition</t>
  </si>
  <si>
    <t xml:space="preserve">Backup</t>
  </si>
  <si>
    <t xml:space="preserve">Azure Backup, 1 server + ~64 GB stored</t>
  </si>
  <si>
    <t xml:space="preserve">$10 per server + $0.0224/GB</t>
  </si>
  <si>
    <t xml:space="preserve">.NET 10, Angular, Nginx, SSL</t>
  </si>
  <si>
    <t xml:space="preserve">Open source / free certificate</t>
  </si>
  <si>
    <t xml:space="preserve">no licence</t>
  </si>
  <si>
    <t xml:space="preserve">Azure infrastructure total</t>
  </si>
  <si>
    <t xml:space="preserve">Developer tooling (separate from Azure infrastructure)</t>
  </si>
  <si>
    <t xml:space="preserve">Claude Max, price per developer per month</t>
  </si>
  <si>
    <t xml:space="preserve">Developers</t>
  </si>
  <si>
    <t xml:space="preserve">Claude Max monthly ($)</t>
  </si>
  <si>
    <t xml:space="preserve">Source: claude.com/pricing (Max plan from $100/month, includes Claude Code), checked Oct 2026.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</si>
</sst>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%"/>
    <numFmt numFmtId="167" formatCode="\$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4A556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B6B75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4F4E"/>
        <bgColor rgb="FF333333"/>
      </patternFill>
    </fill>
    <fill>
      <patternFill patternType="solid">
        <fgColor rgb="FFEEF4F3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4F3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5"/>
      <rgbColor rgb="FF969696"/>
      <rgbColor rgb="FF0B4F4E"/>
      <rgbColor rgb="FF339966"/>
      <rgbColor rgb="FF003300"/>
      <rgbColor rgb="FF333300"/>
      <rgbColor rgb="FF993300"/>
      <rgbColor rgb="FF993366"/>
      <rgbColor rgb="FF4A556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n">
        <f aca="false">SUMIFS(Features!$C$2:$C$38,Features!$A$2:$A$38,$A5)</f>
        <v>34</v>
      </c>
      <c r="C5" s="4" t="n">
        <f aca="false">SUMIFS(Features!$D$2:$D$38,Features!$A$2:$A$38,$A5)</f>
        <v>22</v>
      </c>
      <c r="D5" s="4" t="n">
        <f aca="false">SUMIFS(Features!$E$2:$E$38,Features!$A$2:$A$38,$A5)</f>
        <v>11</v>
      </c>
      <c r="E5" s="4" t="n">
        <f aca="false">SUMIFS(Features!$F$2:$F$38,Features!$A$2:$A$38,$A5)</f>
        <v>67</v>
      </c>
    </row>
    <row r="6" customFormat="false" ht="15" hidden="false" customHeight="false" outlineLevel="0" collapsed="false">
      <c r="A6" s="4" t="s">
        <v>8</v>
      </c>
      <c r="B6" s="4" t="n">
        <f aca="false">SUMIFS(Features!$C$2:$C$38,Features!$A$2:$A$38,$A6)</f>
        <v>51</v>
      </c>
      <c r="C6" s="4" t="n">
        <f aca="false">SUMIFS(Features!$D$2:$D$38,Features!$A$2:$A$38,$A6)</f>
        <v>47</v>
      </c>
      <c r="D6" s="4" t="n">
        <f aca="false">SUMIFS(Features!$E$2:$E$38,Features!$A$2:$A$38,$A6)</f>
        <v>17</v>
      </c>
      <c r="E6" s="4" t="n">
        <f aca="false">SUMIFS(Features!$F$2:$F$38,Features!$A$2:$A$38,$A6)</f>
        <v>115</v>
      </c>
    </row>
    <row r="7" customFormat="false" ht="15" hidden="false" customHeight="false" outlineLevel="0" collapsed="false">
      <c r="A7" s="4" t="s">
        <v>9</v>
      </c>
      <c r="B7" s="4" t="n">
        <f aca="false">SUMIFS(Features!$C$2:$C$38,Features!$A$2:$A$38,$A7)</f>
        <v>13</v>
      </c>
      <c r="C7" s="4" t="n">
        <f aca="false">SUMIFS(Features!$D$2:$D$38,Features!$A$2:$A$38,$A7)</f>
        <v>16</v>
      </c>
      <c r="D7" s="4" t="n">
        <f aca="false">SUMIFS(Features!$E$2:$E$38,Features!$A$2:$A$38,$A7)</f>
        <v>5</v>
      </c>
      <c r="E7" s="4" t="n">
        <f aca="false">SUMIFS(Features!$F$2:$F$38,Features!$A$2:$A$38,$A7)</f>
        <v>34</v>
      </c>
    </row>
    <row r="8" customFormat="false" ht="15" hidden="false" customHeight="false" outlineLevel="0" collapsed="false">
      <c r="A8" s="4" t="s">
        <v>10</v>
      </c>
      <c r="B8" s="4" t="n">
        <f aca="false">SUMIFS(Features!$C$2:$C$38,Features!$A$2:$A$38,$A8)</f>
        <v>27</v>
      </c>
      <c r="C8" s="4" t="n">
        <f aca="false">SUMIFS(Features!$D$2:$D$38,Features!$A$2:$A$38,$A8)</f>
        <v>35</v>
      </c>
      <c r="D8" s="4" t="n">
        <f aca="false">SUMIFS(Features!$E$2:$E$38,Features!$A$2:$A$38,$A8)</f>
        <v>11</v>
      </c>
      <c r="E8" s="4" t="n">
        <f aca="false">SUMIFS(Features!$F$2:$F$38,Features!$A$2:$A$38,$A8)</f>
        <v>73</v>
      </c>
    </row>
    <row r="9" customFormat="false" ht="15" hidden="false" customHeight="false" outlineLevel="0" collapsed="false">
      <c r="A9" s="4" t="s">
        <v>11</v>
      </c>
      <c r="B9" s="4" t="n">
        <f aca="false">SUMIFS(Features!$C$2:$C$38,Features!$A$2:$A$38,$A9)</f>
        <v>26</v>
      </c>
      <c r="C9" s="4" t="n">
        <f aca="false">SUMIFS(Features!$D$2:$D$38,Features!$A$2:$A$38,$A9)</f>
        <v>32</v>
      </c>
      <c r="D9" s="4" t="n">
        <f aca="false">SUMIFS(Features!$E$2:$E$38,Features!$A$2:$A$38,$A9)</f>
        <v>9</v>
      </c>
      <c r="E9" s="4" t="n">
        <f aca="false">SUMIFS(Features!$F$2:$F$38,Features!$A$2:$A$38,$A9)</f>
        <v>67</v>
      </c>
    </row>
    <row r="10" customFormat="false" ht="15" hidden="false" customHeight="false" outlineLevel="0" collapsed="false">
      <c r="A10" s="4" t="s">
        <v>12</v>
      </c>
      <c r="B10" s="4" t="n">
        <f aca="false">SUMIFS(Features!$C$2:$C$38,Features!$A$2:$A$38,$A10)</f>
        <v>11</v>
      </c>
      <c r="C10" s="4" t="n">
        <f aca="false">SUMIFS(Features!$D$2:$D$38,Features!$A$2:$A$38,$A10)</f>
        <v>9</v>
      </c>
      <c r="D10" s="4" t="n">
        <f aca="false">SUMIFS(Features!$E$2:$E$38,Features!$A$2:$A$38,$A10)</f>
        <v>4</v>
      </c>
      <c r="E10" s="4" t="n">
        <f aca="false">SUMIFS(Features!$F$2:$F$38,Features!$A$2:$A$38,$A10)</f>
        <v>24</v>
      </c>
    </row>
    <row r="11" customFormat="false" ht="15" hidden="false" customHeight="false" outlineLevel="0" collapsed="false">
      <c r="A11" s="4" t="s">
        <v>13</v>
      </c>
      <c r="B11" s="4" t="n">
        <f aca="false">SUMIFS(Features!$C$2:$C$38,Features!$A$2:$A$38,$A11)</f>
        <v>5</v>
      </c>
      <c r="C11" s="4" t="n">
        <f aca="false">SUMIFS(Features!$D$2:$D$38,Features!$A$2:$A$38,$A11)</f>
        <v>3</v>
      </c>
      <c r="D11" s="4" t="n">
        <f aca="false">SUMIFS(Features!$E$2:$E$38,Features!$A$2:$A$38,$A11)</f>
        <v>1</v>
      </c>
      <c r="E11" s="4" t="n">
        <f aca="false">SUMIFS(Features!$F$2:$F$38,Features!$A$2:$A$38,$A11)</f>
        <v>9</v>
      </c>
    </row>
    <row r="12" customFormat="false" ht="15" hidden="false" customHeight="false" outlineLevel="0" collapsed="false">
      <c r="A12" s="4" t="s">
        <v>14</v>
      </c>
      <c r="B12" s="4" t="n">
        <f aca="false">SUMIFS(Features!$C$2:$C$38,Features!$A$2:$A$38,$A12)</f>
        <v>57</v>
      </c>
      <c r="C12" s="4" t="n">
        <f aca="false">SUMIFS(Features!$D$2:$D$38,Features!$A$2:$A$38,$A12)</f>
        <v>23</v>
      </c>
      <c r="D12" s="4" t="n">
        <f aca="false">SUMIFS(Features!$E$2:$E$38,Features!$A$2:$A$38,$A12)</f>
        <v>17</v>
      </c>
      <c r="E12" s="4" t="n">
        <f aca="false">SUMIFS(Features!$F$2:$F$38,Features!$A$2:$A$38,$A12)</f>
        <v>97</v>
      </c>
    </row>
    <row r="13" customFormat="false" ht="15" hidden="false" customHeight="false" outlineLevel="0" collapsed="false">
      <c r="A13" s="5" t="s">
        <v>15</v>
      </c>
      <c r="B13" s="5" t="n">
        <f aca="false">SUM(B5:B12)</f>
        <v>224</v>
      </c>
      <c r="C13" s="5" t="n">
        <f aca="false">SUM(C5:C12)</f>
        <v>187</v>
      </c>
      <c r="D13" s="5" t="n">
        <f aca="false">SUM(D5:D12)</f>
        <v>75</v>
      </c>
      <c r="E13" s="5" t="n">
        <f aca="false">SUM(E5:E12)</f>
        <v>486</v>
      </c>
    </row>
    <row r="15" customFormat="false" ht="15" hidden="false" customHeight="false" outlineLevel="0" collapsed="false">
      <c r="A15" s="3" t="s">
        <v>16</v>
      </c>
      <c r="B15" s="3"/>
      <c r="C15" s="3"/>
      <c r="D15" s="3"/>
      <c r="E15" s="3" t="s">
        <v>6</v>
      </c>
    </row>
    <row r="16" customFormat="false" ht="15" hidden="false" customHeight="false" outlineLevel="0" collapsed="false">
      <c r="A16" s="4" t="s">
        <v>17</v>
      </c>
      <c r="E16" s="6" t="n">
        <f aca="false">'Server Setup'!B8</f>
        <v>8</v>
      </c>
    </row>
    <row r="17" customFormat="false" ht="15" hidden="false" customHeight="false" outlineLevel="0" collapsed="false">
      <c r="A17" s="5" t="s">
        <v>18</v>
      </c>
      <c r="E17" s="5" t="n">
        <f aca="false">E13+E16</f>
        <v>494</v>
      </c>
    </row>
    <row r="19" customFormat="false" ht="15" hidden="false" customHeight="false" outlineLevel="0" collapsed="false">
      <c r="A19" s="4" t="s">
        <v>19</v>
      </c>
      <c r="B19" s="7" t="n">
        <v>0.08</v>
      </c>
      <c r="E19" s="4" t="n">
        <f aca="false">ROUND(E17*B19,0)</f>
        <v>40</v>
      </c>
    </row>
    <row r="20" customFormat="false" ht="15" hidden="false" customHeight="false" outlineLevel="0" collapsed="false">
      <c r="A20" s="4" t="s">
        <v>20</v>
      </c>
      <c r="B20" s="7" t="n">
        <v>0.1</v>
      </c>
      <c r="E20" s="4" t="n">
        <f aca="false">ROUND(E17*B20,0)</f>
        <v>49</v>
      </c>
    </row>
    <row r="21" customFormat="false" ht="15" hidden="false" customHeight="false" outlineLevel="0" collapsed="false">
      <c r="A21" s="5" t="s">
        <v>21</v>
      </c>
      <c r="E21" s="5" t="n">
        <f aca="false">E17+E19+E20</f>
        <v>583</v>
      </c>
    </row>
    <row r="23" customFormat="false" ht="15" hidden="false" customHeight="false" outlineLevel="0" collapsed="false">
      <c r="A23" s="8" t="s">
        <v>22</v>
      </c>
    </row>
    <row r="24" customFormat="false" ht="15" hidden="false" customHeight="false" outlineLevel="0" collapsed="false">
      <c r="A24" s="9" t="s">
        <v>23</v>
      </c>
    </row>
    <row r="25" customFormat="false" ht="15" hidden="false" customHeight="false" outlineLevel="0" collapsed="false">
      <c r="A25" s="9" t="s">
        <v>24</v>
      </c>
    </row>
    <row r="26" customFormat="false" ht="15" hidden="false" customHeight="false" outlineLevel="0" collapsed="false">
      <c r="A26" s="9" t="s">
        <v>25</v>
      </c>
    </row>
    <row r="27" customFormat="false" ht="15" hidden="false" customHeight="false" outlineLevel="0" collapsed="false">
      <c r="A27" s="9" t="s">
        <v>26</v>
      </c>
    </row>
    <row r="28" customFormat="false" ht="15" hidden="false" customHeight="false" outlineLevel="0" collapsed="false">
      <c r="A28" s="9" t="s">
        <v>27</v>
      </c>
    </row>
    <row r="29" customFormat="false" ht="15" hidden="false" customHeight="false" outlineLevel="0" collapsed="false">
      <c r="A29" s="9" t="s">
        <v>28</v>
      </c>
    </row>
    <row r="30" customFormat="false" ht="15" hidden="false" customHeight="false" outlineLevel="0" collapsed="false">
      <c r="A30" s="9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60"/>
    <col collapsed="false" customWidth="true" hidden="false" outlineLevel="0" max="4" min="3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44"/>
  </cols>
  <sheetData>
    <row r="1" customFormat="false" ht="15" hidden="false" customHeight="false" outlineLevel="0" collapsed="false">
      <c r="A1" s="3" t="s">
        <v>2</v>
      </c>
      <c r="B1" s="3" t="s">
        <v>30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31</v>
      </c>
    </row>
    <row r="2" customFormat="false" ht="15" hidden="false" customHeight="false" outlineLevel="0" collapsed="false">
      <c r="A2" s="10" t="s">
        <v>7</v>
      </c>
      <c r="B2" s="10" t="s">
        <v>32</v>
      </c>
      <c r="C2" s="11" t="n">
        <v>8</v>
      </c>
      <c r="D2" s="11" t="n">
        <v>5</v>
      </c>
      <c r="E2" s="11" t="n">
        <v>3</v>
      </c>
      <c r="F2" s="10" t="n">
        <f aca="false">SUM(C2:E2)</f>
        <v>16</v>
      </c>
      <c r="G2" s="10" t="s">
        <v>33</v>
      </c>
    </row>
    <row r="3" customFormat="false" ht="15" hidden="false" customHeight="false" outlineLevel="0" collapsed="false">
      <c r="A3" s="10" t="s">
        <v>7</v>
      </c>
      <c r="B3" s="10" t="s">
        <v>34</v>
      </c>
      <c r="C3" s="11" t="n">
        <v>10</v>
      </c>
      <c r="D3" s="11" t="n">
        <v>4</v>
      </c>
      <c r="E3" s="11" t="n">
        <v>3</v>
      </c>
      <c r="F3" s="10" t="n">
        <f aca="false">SUM(C3:E3)</f>
        <v>17</v>
      </c>
      <c r="G3" s="10" t="s">
        <v>35</v>
      </c>
    </row>
    <row r="4" customFormat="false" ht="15" hidden="false" customHeight="false" outlineLevel="0" collapsed="false">
      <c r="A4" s="10" t="s">
        <v>7</v>
      </c>
      <c r="B4" s="10" t="s">
        <v>36</v>
      </c>
      <c r="C4" s="11" t="n">
        <v>6</v>
      </c>
      <c r="D4" s="11" t="n">
        <v>4</v>
      </c>
      <c r="E4" s="11" t="n">
        <v>2</v>
      </c>
      <c r="F4" s="10" t="n">
        <f aca="false">SUM(C4:E4)</f>
        <v>12</v>
      </c>
      <c r="G4" s="10"/>
    </row>
    <row r="5" customFormat="false" ht="15" hidden="false" customHeight="false" outlineLevel="0" collapsed="false">
      <c r="A5" s="10" t="s">
        <v>7</v>
      </c>
      <c r="B5" s="10" t="s">
        <v>37</v>
      </c>
      <c r="C5" s="11" t="n">
        <v>6</v>
      </c>
      <c r="D5" s="11" t="n">
        <v>5</v>
      </c>
      <c r="E5" s="11" t="n">
        <v>2</v>
      </c>
      <c r="F5" s="10" t="n">
        <f aca="false">SUM(C5:E5)</f>
        <v>13</v>
      </c>
      <c r="G5" s="10" t="s">
        <v>38</v>
      </c>
    </row>
    <row r="6" customFormat="false" ht="15" hidden="false" customHeight="false" outlineLevel="0" collapsed="false">
      <c r="A6" s="10" t="s">
        <v>7</v>
      </c>
      <c r="B6" s="10" t="s">
        <v>39</v>
      </c>
      <c r="C6" s="11" t="n">
        <v>4</v>
      </c>
      <c r="D6" s="11" t="n">
        <v>4</v>
      </c>
      <c r="E6" s="11" t="n">
        <v>1</v>
      </c>
      <c r="F6" s="10" t="n">
        <f aca="false">SUM(C6:E6)</f>
        <v>9</v>
      </c>
      <c r="G6" s="10"/>
    </row>
    <row r="7" customFormat="false" ht="15" hidden="false" customHeight="false" outlineLevel="0" collapsed="false">
      <c r="A7" s="10" t="s">
        <v>8</v>
      </c>
      <c r="B7" s="10" t="s">
        <v>40</v>
      </c>
      <c r="C7" s="11" t="n">
        <v>8</v>
      </c>
      <c r="D7" s="11" t="n">
        <v>13</v>
      </c>
      <c r="E7" s="11" t="n">
        <v>3</v>
      </c>
      <c r="F7" s="10" t="n">
        <f aca="false">SUM(C7:E7)</f>
        <v>24</v>
      </c>
      <c r="G7" s="10"/>
    </row>
    <row r="8" customFormat="false" ht="15" hidden="false" customHeight="false" outlineLevel="0" collapsed="false">
      <c r="A8" s="10" t="s">
        <v>8</v>
      </c>
      <c r="B8" s="10" t="s">
        <v>41</v>
      </c>
      <c r="C8" s="11" t="n">
        <v>4</v>
      </c>
      <c r="D8" s="11" t="n">
        <v>6</v>
      </c>
      <c r="E8" s="11" t="n">
        <v>2</v>
      </c>
      <c r="F8" s="10" t="n">
        <f aca="false">SUM(C8:E8)</f>
        <v>12</v>
      </c>
      <c r="G8" s="10"/>
    </row>
    <row r="9" customFormat="false" ht="15" hidden="false" customHeight="false" outlineLevel="0" collapsed="false">
      <c r="A9" s="10" t="s">
        <v>8</v>
      </c>
      <c r="B9" s="10" t="s">
        <v>42</v>
      </c>
      <c r="C9" s="11" t="n">
        <v>3</v>
      </c>
      <c r="D9" s="11" t="n">
        <v>3</v>
      </c>
      <c r="E9" s="11" t="n">
        <v>1</v>
      </c>
      <c r="F9" s="10" t="n">
        <f aca="false">SUM(C9:E9)</f>
        <v>7</v>
      </c>
      <c r="G9" s="10"/>
    </row>
    <row r="10" customFormat="false" ht="15" hidden="false" customHeight="false" outlineLevel="0" collapsed="false">
      <c r="A10" s="10" t="s">
        <v>8</v>
      </c>
      <c r="B10" s="10" t="s">
        <v>43</v>
      </c>
      <c r="C10" s="11" t="n">
        <v>2</v>
      </c>
      <c r="D10" s="11" t="n">
        <v>2</v>
      </c>
      <c r="E10" s="11" t="n">
        <v>1</v>
      </c>
      <c r="F10" s="10" t="n">
        <f aca="false">SUM(C10:E10)</f>
        <v>5</v>
      </c>
      <c r="G10" s="10"/>
    </row>
    <row r="11" customFormat="false" ht="26.85" hidden="false" customHeight="false" outlineLevel="0" collapsed="false">
      <c r="A11" s="10" t="s">
        <v>8</v>
      </c>
      <c r="B11" s="10" t="s">
        <v>44</v>
      </c>
      <c r="C11" s="11" t="n">
        <v>11</v>
      </c>
      <c r="D11" s="11" t="n">
        <v>8</v>
      </c>
      <c r="E11" s="11" t="n">
        <v>3</v>
      </c>
      <c r="F11" s="10" t="n">
        <f aca="false">SUM(C11:E11)</f>
        <v>22</v>
      </c>
      <c r="G11" s="10" t="s">
        <v>45</v>
      </c>
    </row>
    <row r="12" customFormat="false" ht="15" hidden="false" customHeight="false" outlineLevel="0" collapsed="false">
      <c r="A12" s="10" t="s">
        <v>8</v>
      </c>
      <c r="B12" s="10" t="s">
        <v>46</v>
      </c>
      <c r="C12" s="11" t="n">
        <v>11</v>
      </c>
      <c r="D12" s="11" t="n">
        <v>8</v>
      </c>
      <c r="E12" s="11" t="n">
        <v>3</v>
      </c>
      <c r="F12" s="10" t="n">
        <f aca="false">SUM(C12:E12)</f>
        <v>22</v>
      </c>
      <c r="G12" s="10" t="s">
        <v>47</v>
      </c>
    </row>
    <row r="13" customFormat="false" ht="15" hidden="false" customHeight="false" outlineLevel="0" collapsed="false">
      <c r="A13" s="10" t="s">
        <v>8</v>
      </c>
      <c r="B13" s="10" t="s">
        <v>48</v>
      </c>
      <c r="C13" s="11" t="n">
        <v>6</v>
      </c>
      <c r="D13" s="11" t="n">
        <v>4</v>
      </c>
      <c r="E13" s="11" t="n">
        <v>2</v>
      </c>
      <c r="F13" s="10" t="n">
        <f aca="false">SUM(C13:E13)</f>
        <v>12</v>
      </c>
      <c r="G13" s="10" t="s">
        <v>49</v>
      </c>
    </row>
    <row r="14" customFormat="false" ht="15" hidden="false" customHeight="false" outlineLevel="0" collapsed="false">
      <c r="A14" s="10" t="s">
        <v>8</v>
      </c>
      <c r="B14" s="10" t="s">
        <v>50</v>
      </c>
      <c r="C14" s="11" t="n">
        <v>6</v>
      </c>
      <c r="D14" s="11" t="n">
        <v>3</v>
      </c>
      <c r="E14" s="11" t="n">
        <v>2</v>
      </c>
      <c r="F14" s="10" t="n">
        <f aca="false">SUM(C14:E14)</f>
        <v>11</v>
      </c>
      <c r="G14" s="10" t="s">
        <v>51</v>
      </c>
    </row>
    <row r="15" customFormat="false" ht="15" hidden="false" customHeight="false" outlineLevel="0" collapsed="false">
      <c r="A15" s="10" t="s">
        <v>9</v>
      </c>
      <c r="B15" s="10" t="s">
        <v>52</v>
      </c>
      <c r="C15" s="11" t="n">
        <v>6</v>
      </c>
      <c r="D15" s="11" t="n">
        <v>10</v>
      </c>
      <c r="E15" s="11" t="n">
        <v>3</v>
      </c>
      <c r="F15" s="10" t="n">
        <f aca="false">SUM(C15:E15)</f>
        <v>19</v>
      </c>
      <c r="G15" s="10"/>
    </row>
    <row r="16" customFormat="false" ht="15" hidden="false" customHeight="false" outlineLevel="0" collapsed="false">
      <c r="A16" s="10" t="s">
        <v>9</v>
      </c>
      <c r="B16" s="10" t="s">
        <v>53</v>
      </c>
      <c r="C16" s="11" t="n">
        <v>3</v>
      </c>
      <c r="D16" s="11" t="n">
        <v>3</v>
      </c>
      <c r="E16" s="11" t="n">
        <v>1</v>
      </c>
      <c r="F16" s="10" t="n">
        <f aca="false">SUM(C16:E16)</f>
        <v>7</v>
      </c>
      <c r="G16" s="10" t="s">
        <v>54</v>
      </c>
    </row>
    <row r="17" customFormat="false" ht="15" hidden="false" customHeight="false" outlineLevel="0" collapsed="false">
      <c r="A17" s="10" t="s">
        <v>9</v>
      </c>
      <c r="B17" s="10" t="s">
        <v>55</v>
      </c>
      <c r="C17" s="11" t="n">
        <v>4</v>
      </c>
      <c r="D17" s="11" t="n">
        <v>3</v>
      </c>
      <c r="E17" s="11" t="n">
        <v>1</v>
      </c>
      <c r="F17" s="10" t="n">
        <f aca="false">SUM(C17:E17)</f>
        <v>8</v>
      </c>
      <c r="G17" s="10"/>
    </row>
    <row r="18" customFormat="false" ht="15" hidden="false" customHeight="false" outlineLevel="0" collapsed="false">
      <c r="A18" s="10" t="s">
        <v>10</v>
      </c>
      <c r="B18" s="10" t="s">
        <v>56</v>
      </c>
      <c r="C18" s="11" t="n">
        <v>4</v>
      </c>
      <c r="D18" s="11" t="n">
        <v>2</v>
      </c>
      <c r="E18" s="11" t="n">
        <v>1</v>
      </c>
      <c r="F18" s="10" t="n">
        <f aca="false">SUM(C18:E18)</f>
        <v>7</v>
      </c>
      <c r="G18" s="10"/>
    </row>
    <row r="19" customFormat="false" ht="15" hidden="false" customHeight="false" outlineLevel="0" collapsed="false">
      <c r="A19" s="10" t="s">
        <v>10</v>
      </c>
      <c r="B19" s="10" t="s">
        <v>57</v>
      </c>
      <c r="C19" s="11" t="n">
        <v>9</v>
      </c>
      <c r="D19" s="11" t="n">
        <v>10</v>
      </c>
      <c r="E19" s="11" t="n">
        <v>3</v>
      </c>
      <c r="F19" s="10" t="n">
        <f aca="false">SUM(C19:E19)</f>
        <v>22</v>
      </c>
      <c r="G19" s="10"/>
    </row>
    <row r="20" customFormat="false" ht="15" hidden="false" customHeight="false" outlineLevel="0" collapsed="false">
      <c r="A20" s="10" t="s">
        <v>10</v>
      </c>
      <c r="B20" s="10" t="s">
        <v>58</v>
      </c>
      <c r="C20" s="11" t="n">
        <v>4</v>
      </c>
      <c r="D20" s="11" t="n">
        <v>11</v>
      </c>
      <c r="E20" s="11" t="n">
        <v>3</v>
      </c>
      <c r="F20" s="10" t="n">
        <f aca="false">SUM(C20:E20)</f>
        <v>18</v>
      </c>
      <c r="G20" s="10" t="s">
        <v>59</v>
      </c>
    </row>
    <row r="21" customFormat="false" ht="15" hidden="false" customHeight="false" outlineLevel="0" collapsed="false">
      <c r="A21" s="10" t="s">
        <v>10</v>
      </c>
      <c r="B21" s="10" t="s">
        <v>60</v>
      </c>
      <c r="C21" s="11" t="n">
        <v>2</v>
      </c>
      <c r="D21" s="11" t="n">
        <v>6</v>
      </c>
      <c r="E21" s="11" t="n">
        <v>1</v>
      </c>
      <c r="F21" s="10" t="n">
        <f aca="false">SUM(C21:E21)</f>
        <v>9</v>
      </c>
      <c r="G21" s="10"/>
    </row>
    <row r="22" customFormat="false" ht="15" hidden="false" customHeight="false" outlineLevel="0" collapsed="false">
      <c r="A22" s="10" t="s">
        <v>10</v>
      </c>
      <c r="B22" s="10" t="s">
        <v>61</v>
      </c>
      <c r="C22" s="11" t="n">
        <v>5</v>
      </c>
      <c r="D22" s="11" t="n">
        <v>3</v>
      </c>
      <c r="E22" s="11" t="n">
        <v>2</v>
      </c>
      <c r="F22" s="10" t="n">
        <f aca="false">SUM(C22:E22)</f>
        <v>10</v>
      </c>
      <c r="G22" s="10"/>
    </row>
    <row r="23" customFormat="false" ht="15" hidden="false" customHeight="false" outlineLevel="0" collapsed="false">
      <c r="A23" s="10" t="s">
        <v>10</v>
      </c>
      <c r="B23" s="10" t="s">
        <v>62</v>
      </c>
      <c r="C23" s="11" t="n">
        <v>3</v>
      </c>
      <c r="D23" s="11" t="n">
        <v>3</v>
      </c>
      <c r="E23" s="11" t="n">
        <v>1</v>
      </c>
      <c r="F23" s="10" t="n">
        <f aca="false">SUM(C23:E23)</f>
        <v>7</v>
      </c>
      <c r="G23" s="10"/>
    </row>
    <row r="24" customFormat="false" ht="15" hidden="false" customHeight="false" outlineLevel="0" collapsed="false">
      <c r="A24" s="10" t="s">
        <v>11</v>
      </c>
      <c r="B24" s="10" t="s">
        <v>31</v>
      </c>
      <c r="C24" s="11" t="n">
        <v>4</v>
      </c>
      <c r="D24" s="11" t="n">
        <v>5</v>
      </c>
      <c r="E24" s="11" t="n">
        <v>1</v>
      </c>
      <c r="F24" s="10" t="n">
        <f aca="false">SUM(C24:E24)</f>
        <v>10</v>
      </c>
      <c r="G24" s="10"/>
    </row>
    <row r="25" customFormat="false" ht="15" hidden="false" customHeight="false" outlineLevel="0" collapsed="false">
      <c r="A25" s="10" t="s">
        <v>11</v>
      </c>
      <c r="B25" s="10" t="s">
        <v>63</v>
      </c>
      <c r="C25" s="11" t="n">
        <v>5</v>
      </c>
      <c r="D25" s="11" t="n">
        <v>5</v>
      </c>
      <c r="E25" s="11" t="n">
        <v>2</v>
      </c>
      <c r="F25" s="10" t="n">
        <f aca="false">SUM(C25:E25)</f>
        <v>12</v>
      </c>
      <c r="G25" s="10"/>
    </row>
    <row r="26" customFormat="false" ht="15" hidden="false" customHeight="false" outlineLevel="0" collapsed="false">
      <c r="A26" s="10" t="s">
        <v>11</v>
      </c>
      <c r="B26" s="10" t="s">
        <v>64</v>
      </c>
      <c r="C26" s="11" t="n">
        <v>8</v>
      </c>
      <c r="D26" s="11" t="n">
        <v>9</v>
      </c>
      <c r="E26" s="11" t="n">
        <v>3</v>
      </c>
      <c r="F26" s="10" t="n">
        <f aca="false">SUM(C26:E26)</f>
        <v>20</v>
      </c>
      <c r="G26" s="10"/>
    </row>
    <row r="27" customFormat="false" ht="15" hidden="false" customHeight="false" outlineLevel="0" collapsed="false">
      <c r="A27" s="10" t="s">
        <v>11</v>
      </c>
      <c r="B27" s="10" t="s">
        <v>65</v>
      </c>
      <c r="C27" s="11" t="n">
        <v>3</v>
      </c>
      <c r="D27" s="11" t="n">
        <v>4</v>
      </c>
      <c r="E27" s="11" t="n">
        <v>1</v>
      </c>
      <c r="F27" s="10" t="n">
        <f aca="false">SUM(C27:E27)</f>
        <v>8</v>
      </c>
      <c r="G27" s="10"/>
    </row>
    <row r="28" customFormat="false" ht="15" hidden="false" customHeight="false" outlineLevel="0" collapsed="false">
      <c r="A28" s="10" t="s">
        <v>11</v>
      </c>
      <c r="B28" s="10" t="s">
        <v>66</v>
      </c>
      <c r="C28" s="11" t="n">
        <v>6</v>
      </c>
      <c r="D28" s="11" t="n">
        <v>9</v>
      </c>
      <c r="E28" s="11" t="n">
        <v>2</v>
      </c>
      <c r="F28" s="10" t="n">
        <f aca="false">SUM(C28:E28)</f>
        <v>17</v>
      </c>
      <c r="G28" s="10" t="s">
        <v>67</v>
      </c>
    </row>
    <row r="29" customFormat="false" ht="15" hidden="false" customHeight="false" outlineLevel="0" collapsed="false">
      <c r="A29" s="10" t="s">
        <v>12</v>
      </c>
      <c r="B29" s="10" t="s">
        <v>68</v>
      </c>
      <c r="C29" s="11" t="n">
        <v>3</v>
      </c>
      <c r="D29" s="11" t="n">
        <v>3</v>
      </c>
      <c r="E29" s="11" t="n">
        <v>1</v>
      </c>
      <c r="F29" s="10" t="n">
        <f aca="false">SUM(C29:E29)</f>
        <v>7</v>
      </c>
      <c r="G29" s="10"/>
    </row>
    <row r="30" customFormat="false" ht="15" hidden="false" customHeight="false" outlineLevel="0" collapsed="false">
      <c r="A30" s="10" t="s">
        <v>12</v>
      </c>
      <c r="B30" s="10" t="s">
        <v>69</v>
      </c>
      <c r="C30" s="11" t="n">
        <v>3</v>
      </c>
      <c r="D30" s="11" t="n">
        <v>3</v>
      </c>
      <c r="E30" s="11" t="n">
        <v>1</v>
      </c>
      <c r="F30" s="10" t="n">
        <f aca="false">SUM(C30:E30)</f>
        <v>7</v>
      </c>
      <c r="G30" s="10"/>
    </row>
    <row r="31" customFormat="false" ht="15" hidden="false" customHeight="false" outlineLevel="0" collapsed="false">
      <c r="A31" s="10" t="s">
        <v>12</v>
      </c>
      <c r="B31" s="10" t="s">
        <v>70</v>
      </c>
      <c r="C31" s="11" t="n">
        <v>2</v>
      </c>
      <c r="D31" s="11" t="n">
        <v>3</v>
      </c>
      <c r="E31" s="11" t="n">
        <v>1</v>
      </c>
      <c r="F31" s="10" t="n">
        <f aca="false">SUM(C31:E31)</f>
        <v>6</v>
      </c>
      <c r="G31" s="10"/>
    </row>
    <row r="32" customFormat="false" ht="15" hidden="false" customHeight="false" outlineLevel="0" collapsed="false">
      <c r="A32" s="10" t="s">
        <v>12</v>
      </c>
      <c r="B32" s="10" t="s">
        <v>71</v>
      </c>
      <c r="C32" s="11" t="n">
        <v>3</v>
      </c>
      <c r="D32" s="11" t="n">
        <v>0</v>
      </c>
      <c r="E32" s="11" t="n">
        <v>1</v>
      </c>
      <c r="F32" s="10" t="n">
        <f aca="false">SUM(C32:E32)</f>
        <v>4</v>
      </c>
      <c r="G32" s="10" t="s">
        <v>72</v>
      </c>
    </row>
    <row r="33" customFormat="false" ht="15" hidden="false" customHeight="false" outlineLevel="0" collapsed="false">
      <c r="A33" s="10" t="s">
        <v>13</v>
      </c>
      <c r="B33" s="10" t="s">
        <v>73</v>
      </c>
      <c r="C33" s="11" t="n">
        <v>5</v>
      </c>
      <c r="D33" s="11" t="n">
        <v>3</v>
      </c>
      <c r="E33" s="11" t="n">
        <v>1</v>
      </c>
      <c r="F33" s="10" t="n">
        <f aca="false">SUM(C33:E33)</f>
        <v>9</v>
      </c>
      <c r="G33" s="10"/>
    </row>
    <row r="34" customFormat="false" ht="26.85" hidden="false" customHeight="false" outlineLevel="0" collapsed="false">
      <c r="A34" s="10" t="s">
        <v>14</v>
      </c>
      <c r="B34" s="10" t="s">
        <v>74</v>
      </c>
      <c r="C34" s="11" t="n">
        <v>13</v>
      </c>
      <c r="D34" s="11" t="n">
        <v>0</v>
      </c>
      <c r="E34" s="11" t="n">
        <v>3</v>
      </c>
      <c r="F34" s="10" t="n">
        <f aca="false">SUM(C34:E34)</f>
        <v>16</v>
      </c>
      <c r="G34" s="10"/>
    </row>
    <row r="35" customFormat="false" ht="15" hidden="false" customHeight="false" outlineLevel="0" collapsed="false">
      <c r="A35" s="10" t="s">
        <v>14</v>
      </c>
      <c r="B35" s="10" t="s">
        <v>75</v>
      </c>
      <c r="C35" s="11" t="n">
        <v>13</v>
      </c>
      <c r="D35" s="11" t="n">
        <v>3</v>
      </c>
      <c r="E35" s="11" t="n">
        <v>4</v>
      </c>
      <c r="F35" s="10" t="n">
        <f aca="false">SUM(C35:E35)</f>
        <v>20</v>
      </c>
      <c r="G35" s="10"/>
    </row>
    <row r="36" customFormat="false" ht="15" hidden="false" customHeight="false" outlineLevel="0" collapsed="false">
      <c r="A36" s="10" t="s">
        <v>14</v>
      </c>
      <c r="B36" s="10" t="s">
        <v>76</v>
      </c>
      <c r="C36" s="11" t="n">
        <v>6</v>
      </c>
      <c r="D36" s="11" t="n">
        <v>6</v>
      </c>
      <c r="E36" s="11" t="n">
        <v>2</v>
      </c>
      <c r="F36" s="10" t="n">
        <f aca="false">SUM(C36:E36)</f>
        <v>14</v>
      </c>
      <c r="G36" s="10"/>
    </row>
    <row r="37" customFormat="false" ht="15" hidden="false" customHeight="false" outlineLevel="0" collapsed="false">
      <c r="A37" s="10" t="s">
        <v>14</v>
      </c>
      <c r="B37" s="10" t="s">
        <v>77</v>
      </c>
      <c r="C37" s="11" t="n">
        <v>17</v>
      </c>
      <c r="D37" s="11" t="n">
        <v>10</v>
      </c>
      <c r="E37" s="11" t="n">
        <v>5</v>
      </c>
      <c r="F37" s="10" t="n">
        <f aca="false">SUM(C37:E37)</f>
        <v>32</v>
      </c>
      <c r="G37" s="10" t="s">
        <v>78</v>
      </c>
    </row>
    <row r="38" customFormat="false" ht="15" hidden="false" customHeight="false" outlineLevel="0" collapsed="false">
      <c r="A38" s="10" t="s">
        <v>14</v>
      </c>
      <c r="B38" s="10" t="s">
        <v>79</v>
      </c>
      <c r="C38" s="11" t="n">
        <v>8</v>
      </c>
      <c r="D38" s="11" t="n">
        <v>4</v>
      </c>
      <c r="E38" s="11" t="n">
        <v>3</v>
      </c>
      <c r="F38" s="10" t="n">
        <f aca="false">SUM(C38:E38)</f>
        <v>15</v>
      </c>
      <c r="G38" s="10" t="s">
        <v>80</v>
      </c>
    </row>
    <row r="39" customFormat="false" ht="15" hidden="false" customHeight="false" outlineLevel="0" collapsed="false">
      <c r="A39" s="5" t="s">
        <v>81</v>
      </c>
      <c r="B39" s="5"/>
      <c r="C39" s="5" t="n">
        <f aca="false">SUM(C2:C38)</f>
        <v>224</v>
      </c>
      <c r="D39" s="5" t="n">
        <f aca="false">SUM(D2:D38)</f>
        <v>187</v>
      </c>
      <c r="E39" s="5" t="n">
        <f aca="false">SUM(E2:E38)</f>
        <v>75</v>
      </c>
      <c r="F39" s="5" t="n">
        <f aca="false">SUM(F2:F38)</f>
        <v>486</v>
      </c>
      <c r="G3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3" t="s">
        <v>82</v>
      </c>
      <c r="B1" s="3" t="s">
        <v>83</v>
      </c>
    </row>
    <row r="2" customFormat="false" ht="15" hidden="false" customHeight="false" outlineLevel="0" collapsed="false">
      <c r="A2" s="4" t="s">
        <v>84</v>
      </c>
      <c r="B2" s="12" t="n">
        <v>1.5</v>
      </c>
    </row>
    <row r="3" customFormat="false" ht="15" hidden="false" customHeight="false" outlineLevel="0" collapsed="false">
      <c r="A3" s="4" t="s">
        <v>85</v>
      </c>
      <c r="B3" s="12" t="n">
        <v>1.5</v>
      </c>
    </row>
    <row r="4" customFormat="false" ht="15" hidden="false" customHeight="false" outlineLevel="0" collapsed="false">
      <c r="A4" s="4" t="s">
        <v>86</v>
      </c>
      <c r="B4" s="12" t="n">
        <v>1</v>
      </c>
    </row>
    <row r="5" customFormat="false" ht="15" hidden="false" customHeight="false" outlineLevel="0" collapsed="false">
      <c r="A5" s="4" t="s">
        <v>87</v>
      </c>
      <c r="B5" s="12" t="n">
        <v>2</v>
      </c>
    </row>
    <row r="6" customFormat="false" ht="15" hidden="false" customHeight="false" outlineLevel="0" collapsed="false">
      <c r="A6" s="4" t="s">
        <v>88</v>
      </c>
      <c r="B6" s="12" t="n">
        <v>1</v>
      </c>
    </row>
    <row r="7" customFormat="false" ht="15" hidden="false" customHeight="false" outlineLevel="0" collapsed="false">
      <c r="A7" s="4" t="s">
        <v>89</v>
      </c>
      <c r="B7" s="12" t="n">
        <v>1</v>
      </c>
    </row>
    <row r="8" customFormat="false" ht="15" hidden="false" customHeight="false" outlineLevel="0" collapsed="false">
      <c r="A8" s="5" t="s">
        <v>81</v>
      </c>
      <c r="B8" s="13" t="n">
        <f aca="false">SUM(B2:B7)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3" min="3" style="0" width="30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90</v>
      </c>
    </row>
    <row r="2" customFormat="false" ht="15" hidden="false" customHeight="false" outlineLevel="0" collapsed="false">
      <c r="A2" s="14" t="s">
        <v>91</v>
      </c>
    </row>
    <row r="4" customFormat="false" ht="15" hidden="false" customHeight="false" outlineLevel="0" collapsed="false">
      <c r="A4" s="3" t="s">
        <v>92</v>
      </c>
      <c r="B4" s="3" t="s">
        <v>93</v>
      </c>
      <c r="C4" s="3" t="s">
        <v>94</v>
      </c>
      <c r="D4" s="3" t="s">
        <v>95</v>
      </c>
    </row>
    <row r="5" customFormat="false" ht="15" hidden="false" customHeight="false" outlineLevel="0" collapsed="false">
      <c r="A5" s="4" t="s">
        <v>96</v>
      </c>
      <c r="B5" s="4" t="s">
        <v>97</v>
      </c>
      <c r="C5" s="4" t="s">
        <v>98</v>
      </c>
      <c r="D5" s="15" t="n">
        <f aca="false">0.106*730</f>
        <v>77.38</v>
      </c>
    </row>
    <row r="6" customFormat="false" ht="15" hidden="false" customHeight="false" outlineLevel="0" collapsed="false">
      <c r="A6" s="4" t="s">
        <v>99</v>
      </c>
      <c r="B6" s="4" t="s">
        <v>100</v>
      </c>
      <c r="C6" s="4" t="s">
        <v>101</v>
      </c>
      <c r="D6" s="16" t="n">
        <v>9.6</v>
      </c>
    </row>
    <row r="7" customFormat="false" ht="15" hidden="false" customHeight="false" outlineLevel="0" collapsed="false">
      <c r="A7" s="4" t="s">
        <v>102</v>
      </c>
      <c r="B7" s="4" t="s">
        <v>103</v>
      </c>
      <c r="C7" s="4" t="s">
        <v>104</v>
      </c>
      <c r="D7" s="15" t="n">
        <f aca="false">0.005*730</f>
        <v>3.65</v>
      </c>
    </row>
    <row r="8" customFormat="false" ht="15" hidden="false" customHeight="false" outlineLevel="0" collapsed="false">
      <c r="A8" s="4" t="s">
        <v>105</v>
      </c>
      <c r="B8" s="4" t="s">
        <v>106</v>
      </c>
      <c r="C8" s="4" t="s">
        <v>107</v>
      </c>
      <c r="D8" s="16" t="n">
        <v>0</v>
      </c>
    </row>
    <row r="9" customFormat="false" ht="15" hidden="false" customHeight="false" outlineLevel="0" collapsed="false">
      <c r="A9" s="4" t="s">
        <v>108</v>
      </c>
      <c r="B9" s="4" t="s">
        <v>109</v>
      </c>
      <c r="C9" s="4" t="s">
        <v>110</v>
      </c>
      <c r="D9" s="15" t="n">
        <f aca="false">10+64*0.0224</f>
        <v>11.4336</v>
      </c>
    </row>
    <row r="10" customFormat="false" ht="15" hidden="false" customHeight="false" outlineLevel="0" collapsed="false">
      <c r="A10" s="4" t="s">
        <v>111</v>
      </c>
      <c r="B10" s="4" t="s">
        <v>112</v>
      </c>
      <c r="C10" s="4" t="s">
        <v>113</v>
      </c>
      <c r="D10" s="16" t="n">
        <v>0</v>
      </c>
    </row>
    <row r="11" customFormat="false" ht="15" hidden="false" customHeight="false" outlineLevel="0" collapsed="false">
      <c r="A11" s="5" t="s">
        <v>114</v>
      </c>
      <c r="B11" s="17"/>
      <c r="C11" s="17"/>
      <c r="D11" s="18" t="n">
        <f aca="false">SUM(D5:D10)</f>
        <v>102.0636</v>
      </c>
    </row>
    <row r="13" customFormat="false" ht="15" hidden="false" customHeight="false" outlineLevel="0" collapsed="false">
      <c r="A13" s="19" t="s">
        <v>115</v>
      </c>
    </row>
    <row r="14" customFormat="false" ht="15" hidden="false" customHeight="false" outlineLevel="0" collapsed="false">
      <c r="A14" s="4" t="s">
        <v>116</v>
      </c>
      <c r="D14" s="20" t="n">
        <v>100</v>
      </c>
    </row>
    <row r="16" customFormat="false" ht="26.85" hidden="false" customHeight="false" outlineLevel="0" collapsed="false">
      <c r="A16" s="3" t="s">
        <v>117</v>
      </c>
      <c r="B16" s="3"/>
      <c r="C16" s="3"/>
      <c r="D16" s="3" t="s">
        <v>118</v>
      </c>
    </row>
    <row r="17" customFormat="false" ht="15" hidden="false" customHeight="false" outlineLevel="0" collapsed="false">
      <c r="A17" s="21" t="n">
        <v>1</v>
      </c>
      <c r="B17" s="4"/>
      <c r="C17" s="4"/>
      <c r="D17" s="15" t="n">
        <f aca="false">A17*$D$14</f>
        <v>100</v>
      </c>
    </row>
    <row r="18" customFormat="false" ht="15" hidden="false" customHeight="false" outlineLevel="0" collapsed="false">
      <c r="A18" s="21" t="n">
        <v>2</v>
      </c>
      <c r="B18" s="4"/>
      <c r="C18" s="4"/>
      <c r="D18" s="15" t="n">
        <f aca="false">A18*$D$14</f>
        <v>200</v>
      </c>
    </row>
    <row r="19" customFormat="false" ht="15" hidden="false" customHeight="false" outlineLevel="0" collapsed="false">
      <c r="A19" s="21" t="n">
        <v>3</v>
      </c>
      <c r="B19" s="4"/>
      <c r="C19" s="4"/>
      <c r="D19" s="15" t="n">
        <f aca="false">A19*$D$14</f>
        <v>300</v>
      </c>
    </row>
    <row r="20" customFormat="false" ht="15" hidden="false" customHeight="false" outlineLevel="0" collapsed="false">
      <c r="A20" s="21" t="n">
        <v>4</v>
      </c>
      <c r="B20" s="4"/>
      <c r="C20" s="4"/>
      <c r="D20" s="15" t="n">
        <f aca="false">A20*$D$14</f>
        <v>400</v>
      </c>
    </row>
    <row r="21" customFormat="false" ht="15" hidden="false" customHeight="false" outlineLevel="0" collapsed="false">
      <c r="A21" s="21" t="n">
        <v>5</v>
      </c>
      <c r="B21" s="4"/>
      <c r="C21" s="4"/>
      <c r="D21" s="15" t="n">
        <f aca="false">A21*$D$14</f>
        <v>500</v>
      </c>
    </row>
    <row r="23" customFormat="false" ht="15" hidden="false" customHeight="false" outlineLevel="0" collapsed="false">
      <c r="A23" s="14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2026-10-09T04:09:35Z</dcterms:created>
  <dc:creator>openpyxl</dc:creator>
  <dc:description/>
  <dc:language>en-US</dc:language>
  <cp:lastModifiedBy/>
  <dcterms:modified xsi:type="dcterms:W3CDTF">2026-10-09T04:09:35Z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